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alam/Downloads/"/>
    </mc:Choice>
  </mc:AlternateContent>
  <xr:revisionPtr revIDLastSave="0" documentId="13_ncr:1_{5179A788-747A-474B-9DA8-6BD0C7C473CC}" xr6:coauthVersionLast="47" xr6:coauthVersionMax="47" xr10:uidLastSave="{00000000-0000-0000-0000-000000000000}"/>
  <bookViews>
    <workbookView xWindow="0" yWindow="760" windowWidth="27900" windowHeight="16200" xr2:uid="{00000000-000D-0000-FFFF-FFFF00000000}"/>
  </bookViews>
  <sheets>
    <sheet name="market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2" i="2"/>
</calcChain>
</file>

<file path=xl/sharedStrings.xml><?xml version="1.0" encoding="utf-8"?>
<sst xmlns="http://schemas.openxmlformats.org/spreadsheetml/2006/main" count="436" uniqueCount="341">
  <si>
    <t>Graduation Term</t>
  </si>
  <si>
    <t>Last</t>
  </si>
  <si>
    <t>First</t>
  </si>
  <si>
    <t>Company</t>
  </si>
  <si>
    <t>Title</t>
  </si>
  <si>
    <t>Industry</t>
  </si>
  <si>
    <t>Personal Email</t>
  </si>
  <si>
    <t>LinkedIn Profile</t>
  </si>
  <si>
    <t>Date of Last Contact</t>
  </si>
  <si>
    <t>Notes</t>
  </si>
  <si>
    <t>Story Published Date</t>
  </si>
  <si>
    <t>Capstone</t>
  </si>
  <si>
    <t>Internship</t>
  </si>
  <si>
    <t>Practicum</t>
  </si>
  <si>
    <t>Fall 2019</t>
  </si>
  <si>
    <t>officially MSin CS graduate, but was MSAI</t>
  </si>
  <si>
    <t>Attarwala</t>
  </si>
  <si>
    <t>Ikhlas</t>
  </si>
  <si>
    <t>Citi</t>
  </si>
  <si>
    <t>Senior Backend Developer</t>
  </si>
  <si>
    <t>Financial Services</t>
  </si>
  <si>
    <t>ikhlas.attarwala@gmail.com</t>
  </si>
  <si>
    <t>https://www.linkedin.com/in/ikhlas-attarwala/</t>
  </si>
  <si>
    <t>AI Lab Researcher</t>
  </si>
  <si>
    <t>Northwestern Football video analysis and object recognition of athletes</t>
  </si>
  <si>
    <t>Bagchi</t>
  </si>
  <si>
    <t>Souvik</t>
  </si>
  <si>
    <t>Transformco</t>
  </si>
  <si>
    <t>Principle Software Engineer</t>
  </si>
  <si>
    <t>Retail</t>
  </si>
  <si>
    <t>souvik.bagchi@gmail.com</t>
  </si>
  <si>
    <t>https://www.linkedin.com/in/souvikbagchi/</t>
  </si>
  <si>
    <t>Loyal - machine learning</t>
  </si>
  <si>
    <t>Deloitte</t>
  </si>
  <si>
    <t>Marketing</t>
  </si>
  <si>
    <t>Entertainment</t>
  </si>
  <si>
    <t>Tech</t>
  </si>
  <si>
    <t>Social Media</t>
  </si>
  <si>
    <t>Founder</t>
  </si>
  <si>
    <t>Sheil</t>
  </si>
  <si>
    <t>Jaieu</t>
  </si>
  <si>
    <t>GSK</t>
  </si>
  <si>
    <t>Senior Software Engineer</t>
  </si>
  <si>
    <t>Healthcare</t>
  </si>
  <si>
    <t>jaieu.sheil@gmail.com</t>
  </si>
  <si>
    <t>https://www.linkedin.com/in/jaieusheil/</t>
  </si>
  <si>
    <t>Winter 2020</t>
  </si>
  <si>
    <t>AI Engineer</t>
  </si>
  <si>
    <t>Harris</t>
  </si>
  <si>
    <t>Brandon</t>
  </si>
  <si>
    <t>Gallagher</t>
  </si>
  <si>
    <t>Data Scientist</t>
  </si>
  <si>
    <t>Insurance</t>
  </si>
  <si>
    <t>brandonharris93@gmail.com</t>
  </si>
  <si>
    <t>https://www.linkedin.com/in/brandon-s-harris/</t>
  </si>
  <si>
    <t>Manufacturing</t>
  </si>
  <si>
    <t>Fall 2020</t>
  </si>
  <si>
    <t>Gasser</t>
  </si>
  <si>
    <t>Grant</t>
  </si>
  <si>
    <t>Lightning AI</t>
  </si>
  <si>
    <t>ML Solutions Lead</t>
  </si>
  <si>
    <t>https://www.linkedin.com/in/grantgasser/</t>
  </si>
  <si>
    <t>Imamov</t>
  </si>
  <si>
    <t>Akbar</t>
  </si>
  <si>
    <t>Chewy</t>
  </si>
  <si>
    <t>Senior Data Scientist</t>
  </si>
  <si>
    <t>imamov@inforshare.co.kr</t>
  </si>
  <si>
    <t>https://www.linkedin.com/in/imamov-akbar/</t>
  </si>
  <si>
    <t>Consulting</t>
  </si>
  <si>
    <t>Thevar</t>
  </si>
  <si>
    <t>Shanmugam Sundaram (Sundar)</t>
  </si>
  <si>
    <t>Vanguard</t>
  </si>
  <si>
    <t>Senior Manager, AI/ML Engineering</t>
  </si>
  <si>
    <t>sundaramx@gmail.com</t>
  </si>
  <si>
    <t>https://www.linkedin.com/in/sundaramx/</t>
  </si>
  <si>
    <t>Winter 2021</t>
  </si>
  <si>
    <t>Govindarajula Venkata Sai</t>
  </si>
  <si>
    <t>Akash Bharadwaj</t>
  </si>
  <si>
    <t>Merck</t>
  </si>
  <si>
    <t>https://www.linkedin.com/in/gvsakash3/</t>
  </si>
  <si>
    <t>Meta</t>
  </si>
  <si>
    <t>Fall 2021</t>
  </si>
  <si>
    <t>Abbvie</t>
  </si>
  <si>
    <t>Wayfair</t>
  </si>
  <si>
    <t>Chae</t>
  </si>
  <si>
    <t>Justin</t>
  </si>
  <si>
    <t>Esri</t>
  </si>
  <si>
    <t>SEnior Consultant</t>
  </si>
  <si>
    <t>jhc154@gmail.com</t>
  </si>
  <si>
    <t>https://www.linkedin.com/in/justin-chae/</t>
  </si>
  <si>
    <t>Esri - Emerging Technology Markets division integrating GeoAI technology</t>
  </si>
  <si>
    <t>Integration of political data into a Q/A analytics engine</t>
  </si>
  <si>
    <t>Briteseed – Medical Imaging</t>
  </si>
  <si>
    <t>Home Depot</t>
  </si>
  <si>
    <t>Patel</t>
  </si>
  <si>
    <t>Masum</t>
  </si>
  <si>
    <t>CVS</t>
  </si>
  <si>
    <t>masumpatel39@gmail.com</t>
  </si>
  <si>
    <t>https://www.linkedin.com/in/masum-patel/</t>
  </si>
  <si>
    <t>Deloitte - Associate Applied AI Intern</t>
  </si>
  <si>
    <t>OTUS Project in education and analytics</t>
  </si>
  <si>
    <t>Ryzhkov</t>
  </si>
  <si>
    <t>Igor</t>
  </si>
  <si>
    <t>Machine Learning Engineer</t>
  </si>
  <si>
    <t>igor.o.ryzhkov@gmail.com</t>
  </si>
  <si>
    <t>https://www.linkedin.com/in/igororyzhkov/</t>
  </si>
  <si>
    <t>H&amp;M</t>
  </si>
  <si>
    <t>Microsoft, Research Intern</t>
  </si>
  <si>
    <t>Seth</t>
  </si>
  <si>
    <t>Krish</t>
  </si>
  <si>
    <t>Autodesk</t>
  </si>
  <si>
    <t>Senior Machine Learning Engineer</t>
  </si>
  <si>
    <t>krish.seth@gmail.com</t>
  </si>
  <si>
    <t>https://www.linkedin.com/in/krishseth/</t>
  </si>
  <si>
    <t>Autodesk - Machine Learning Researcher</t>
  </si>
  <si>
    <t>Fall 2022</t>
  </si>
  <si>
    <t>Accenture</t>
  </si>
  <si>
    <t>KraftHeinz</t>
  </si>
  <si>
    <t>Research: Diagnosing Speech Disorders in Children</t>
  </si>
  <si>
    <t>Transportation</t>
  </si>
  <si>
    <t>Accenture/MBAi Partnership</t>
  </si>
  <si>
    <t>Solidus Labs</t>
  </si>
  <si>
    <t>Adobe: Interactive Note Taking</t>
  </si>
  <si>
    <t>Jaganathan</t>
  </si>
  <si>
    <t>Kavya</t>
  </si>
  <si>
    <t>Goldman Sachs</t>
  </si>
  <si>
    <t>Data Engineer</t>
  </si>
  <si>
    <t>kavyajaganathan@gmail.com</t>
  </si>
  <si>
    <t>https://www.linkedin.com/in/kavya-jaganathan-90a1921a8/</t>
  </si>
  <si>
    <t>Deere</t>
  </si>
  <si>
    <t>Summer Analyst @ Goldman Sachs Singapore</t>
  </si>
  <si>
    <t>Kharvi</t>
  </si>
  <si>
    <t>Vikram</t>
  </si>
  <si>
    <t>Labelbox</t>
  </si>
  <si>
    <t>Hardware</t>
  </si>
  <si>
    <t>vikram984511@gmail.com</t>
  </si>
  <si>
    <t>https://www.linkedin.com/in/vikramai/</t>
  </si>
  <si>
    <t>MSAI TA (MSAI 348)</t>
  </si>
  <si>
    <t>Berkeley Research Group</t>
  </si>
  <si>
    <t>Staff Machine Learning Engineer</t>
  </si>
  <si>
    <t>Oracle</t>
  </si>
  <si>
    <t>Palo Alto Networks</t>
  </si>
  <si>
    <t>Walgreens</t>
  </si>
  <si>
    <t>Discover</t>
  </si>
  <si>
    <t>Li</t>
  </si>
  <si>
    <t>Tianchang</t>
  </si>
  <si>
    <t>Direct Supply</t>
  </si>
  <si>
    <t>AI Team Lead</t>
  </si>
  <si>
    <t>TIANCHANGL@HOTMAIL.COM</t>
  </si>
  <si>
    <t>https://www.linkedin.com/in/tianchang-li-0601/</t>
  </si>
  <si>
    <t>Adobe (Contracts)</t>
  </si>
  <si>
    <t>Machine Learning &amp; Computer Vision Engineer @ Zebra Technologies</t>
  </si>
  <si>
    <t>Energy</t>
  </si>
  <si>
    <t>Pandit</t>
  </si>
  <si>
    <t>Tejul</t>
  </si>
  <si>
    <t>tejulp.64@gmail.com</t>
  </si>
  <si>
    <t>https://www.linkedin.com/in/tejulpandit/</t>
  </si>
  <si>
    <t>Machine Learning Engineer @ Palo Alto Networks</t>
  </si>
  <si>
    <t>Pareddy</t>
  </si>
  <si>
    <t>Preetham</t>
  </si>
  <si>
    <t>Cstore Master</t>
  </si>
  <si>
    <t>Analytics Lead</t>
  </si>
  <si>
    <t>f20140404h@alumni.bits-pilani.ac.in</t>
  </si>
  <si>
    <t>https://www.linkedin.com/in/preetham-pareddy-667a4b18b/</t>
  </si>
  <si>
    <t>Software Development Cloud Co-Op Intern @ Nokia</t>
  </si>
  <si>
    <t>Qin</t>
  </si>
  <si>
    <t>Hualiang</t>
  </si>
  <si>
    <t>Morph Studio</t>
  </si>
  <si>
    <t>ryanqin10@gmail.com</t>
  </si>
  <si>
    <t>https://www.linkedin.com/in/hlqin/</t>
  </si>
  <si>
    <t>Data Science Intern @ AI Camp</t>
  </si>
  <si>
    <t>Sheoran</t>
  </si>
  <si>
    <t>Vishvesh</t>
  </si>
  <si>
    <t>vishvesh.sheoran@gmail.com</t>
  </si>
  <si>
    <t>https://www.linkedin.com/in/vishvesh-sheoran/</t>
  </si>
  <si>
    <t>waived</t>
  </si>
  <si>
    <t>Singh</t>
  </si>
  <si>
    <t>CDW</t>
  </si>
  <si>
    <t>Winter 2023</t>
  </si>
  <si>
    <t>Parikh</t>
  </si>
  <si>
    <t>Shalin Sandip</t>
  </si>
  <si>
    <t>SAP</t>
  </si>
  <si>
    <t>shalinparikh317@gmail.com</t>
  </si>
  <si>
    <t>https://www.linkedin.com/in/shalinsparikh/</t>
  </si>
  <si>
    <t>Fall 2023</t>
  </si>
  <si>
    <t>Agarwal</t>
  </si>
  <si>
    <t>Vansh</t>
  </si>
  <si>
    <t>Evolver AI</t>
  </si>
  <si>
    <t>GenAI Engineer</t>
  </si>
  <si>
    <t>vansh_a24@yahoo.com</t>
  </si>
  <si>
    <t>https://www.linkedin.com/in/vansh-agarwal777/</t>
  </si>
  <si>
    <t>Research project with Beth Redbird (CV)</t>
  </si>
  <si>
    <t>Predicting Candidate Galaxies for Deeper Observation of Low Surface Brightness Structure</t>
  </si>
  <si>
    <t>Tracking Legal Cases Through Time</t>
  </si>
  <si>
    <t>EY</t>
  </si>
  <si>
    <t>Prompt Engineering for GPT-based Large Language Models to Handle Very Large Prompts</t>
  </si>
  <si>
    <t>Corrales</t>
  </si>
  <si>
    <t>Theresa (Andrea)</t>
  </si>
  <si>
    <t>Security Analyst</t>
  </si>
  <si>
    <t>tacorrales@neiu.edu</t>
  </si>
  <si>
    <t>https://www.linkedin.com/in/theresaandreacorrales/</t>
  </si>
  <si>
    <t>Home Depot, Software Engineer Internship</t>
  </si>
  <si>
    <t>Development of Conversational Interface as Home Improvement Sales Copilot for The Home Depot</t>
  </si>
  <si>
    <t>Hariharan</t>
  </si>
  <si>
    <t>Shruthi</t>
  </si>
  <si>
    <t>Pintrest</t>
  </si>
  <si>
    <t>Machine Learning Engineer II</t>
  </si>
  <si>
    <t>shru.hariharan@gmail.com</t>
  </si>
  <si>
    <t>https://www.linkedin.com/in/shruthi-hariharan-409538211/</t>
  </si>
  <si>
    <t>Quester</t>
  </si>
  <si>
    <t>Amazon, Applied Scientist Intern</t>
  </si>
  <si>
    <t>Machlab</t>
  </si>
  <si>
    <t>Laura</t>
  </si>
  <si>
    <t>Mayo Clinic</t>
  </si>
  <si>
    <t>LauraMachlab2022@u.northwestern.edu</t>
  </si>
  <si>
    <t>https://www.linkedin.com/in/laura-machlab-2b44a9235/</t>
  </si>
  <si>
    <t>NU Feinberg</t>
  </si>
  <si>
    <t>Research: I.AIM: Rukhsana Mirza-Professor of Ophthalmology (Image Processing-Retina)</t>
  </si>
  <si>
    <t>Feasibility Study of Using Hand-crafted Features for Lung Cancer Treatment</t>
  </si>
  <si>
    <t>McDevitt</t>
  </si>
  <si>
    <t>David</t>
  </si>
  <si>
    <t>SourceAudio</t>
  </si>
  <si>
    <t>davidwmcdevitt@gmail.com</t>
  </si>
  <si>
    <t>https://www.linkedin.com/in/david-mcdevitt-68908397/</t>
  </si>
  <si>
    <t>Overtone</t>
  </si>
  <si>
    <t>Vocal Clarity, AI Research Intern</t>
  </si>
  <si>
    <t>Speech-language Impairment Detection in children</t>
  </si>
  <si>
    <t>Miao</t>
  </si>
  <si>
    <t>Yaqi</t>
  </si>
  <si>
    <t>yaqimiao.lp@gmail.com</t>
  </si>
  <si>
    <t>https://www.linkedin.com/in/yaqim/</t>
  </si>
  <si>
    <t>Research with Dr. Abazeed</t>
  </si>
  <si>
    <t>Better Tumor Contour Delineation by using Deep Learning</t>
  </si>
  <si>
    <t>Nanavati</t>
  </si>
  <si>
    <t>Rohin</t>
  </si>
  <si>
    <t>First Solar</t>
  </si>
  <si>
    <t>Data Scientist 2</t>
  </si>
  <si>
    <t>rohinpn@gmail.com</t>
  </si>
  <si>
    <t>https://www.linkedin.com/in/rohinnanavati/</t>
  </si>
  <si>
    <t>First Solar, Analyst</t>
  </si>
  <si>
    <t>Data Denoising in Single-cell Gene Sequencing</t>
  </si>
  <si>
    <t>Pathak</t>
  </si>
  <si>
    <t>Akangkshya</t>
  </si>
  <si>
    <t>SeedPod Cyber</t>
  </si>
  <si>
    <t>Founding Product Manager</t>
  </si>
  <si>
    <t>akangkshyap@gmail.com</t>
  </si>
  <si>
    <t>https://www.linkedin.com/in/akangkshya/</t>
  </si>
  <si>
    <t>MSAI internship (Elizabeth) / I.AIM: Lee Cooper-Director Center for Computational Imaging and Signal Analytics in Medicine (Machine learning/Image Processing-Cancer)</t>
  </si>
  <si>
    <t>Identification of Clinical Indicators of Psychosis in Teens by Using Computer Vision</t>
  </si>
  <si>
    <t>Zhang</t>
  </si>
  <si>
    <t>Rui Chun</t>
  </si>
  <si>
    <t>BCG</t>
  </si>
  <si>
    <t>e0253713@u.nus.edu</t>
  </si>
  <si>
    <t>https://www.linkedin.com/in/ruichun-zhang-ba4032179/</t>
  </si>
  <si>
    <t>Writerly</t>
  </si>
  <si>
    <t>Data Engineer Intern @ BCG New York</t>
  </si>
  <si>
    <t>Fall 2024</t>
  </si>
  <si>
    <t>Anikiej</t>
  </si>
  <si>
    <t>Matt</t>
  </si>
  <si>
    <t>Chicago Cubs</t>
  </si>
  <si>
    <t>Sports</t>
  </si>
  <si>
    <t>https://www.linkedin.com/in/matt-anikiej-956920184/</t>
  </si>
  <si>
    <t>Kellanova</t>
  </si>
  <si>
    <t>NASA Jet Propulsion Laboratory, JPL Summer Intern</t>
  </si>
  <si>
    <t>Dr. Gopal: Classification and tracking of small cell lung cancer cell populations</t>
  </si>
  <si>
    <t>ViewSonic</t>
  </si>
  <si>
    <t>?</t>
  </si>
  <si>
    <t>Dharmoju</t>
  </si>
  <si>
    <t>Pavan Kumar</t>
  </si>
  <si>
    <t>Marketing Attribution</t>
  </si>
  <si>
    <t>https://www.linkedin.com/in/pavandharmoju/</t>
  </si>
  <si>
    <t>Chan Zuckerberg Biohub</t>
  </si>
  <si>
    <t>Dr. Chen: Enhance Tire Life Prediction and Optimization research</t>
  </si>
  <si>
    <t>Garg</t>
  </si>
  <si>
    <t>Naman</t>
  </si>
  <si>
    <t>United Airlines</t>
  </si>
  <si>
    <t>Senior LLM Scientist</t>
  </si>
  <si>
    <t>https://www.linkedin.com/in/namangarg110/</t>
  </si>
  <si>
    <t>Accenture Labs</t>
  </si>
  <si>
    <t>Dr. Teo: LLM for Radiation Oncology Clinical Note Summarization</t>
  </si>
  <si>
    <t>Garkel</t>
  </si>
  <si>
    <t>Karan Singh</t>
  </si>
  <si>
    <t>Manitou Group</t>
  </si>
  <si>
    <t>Agriculture, Construction</t>
  </si>
  <si>
    <t>https://www.linkedin.com/in/karangarkel/</t>
  </si>
  <si>
    <t>Live Nation, intern</t>
  </si>
  <si>
    <t>Gupta</t>
  </si>
  <si>
    <t>Rohan</t>
  </si>
  <si>
    <t>Amazon</t>
  </si>
  <si>
    <t>Applied Scientist</t>
  </si>
  <si>
    <t>https://www.linkedin.com/in/rohang17/</t>
  </si>
  <si>
    <t>Relativity, Applied Science Intern</t>
  </si>
  <si>
    <t>Milica: Advanced RAG 1</t>
  </si>
  <si>
    <t>Isaro</t>
  </si>
  <si>
    <t>Anabella</t>
  </si>
  <si>
    <t>Tyler Technologies</t>
  </si>
  <si>
    <t>https://www.linkedin.com/in/aisaro/</t>
  </si>
  <si>
    <t>Tyler Technologies, Developer</t>
  </si>
  <si>
    <t>GPRL: Uganda anti-poverty program</t>
  </si>
  <si>
    <t>Dr. Teo: Utilizing radiation dose patterns for predicting recurrence in cancer patients undergoing radiotherapy</t>
  </si>
  <si>
    <t>Finance</t>
  </si>
  <si>
    <t>Tyler Technologies: AI solution for coding datasets</t>
  </si>
  <si>
    <t>Milica: Advanced RAG 2</t>
  </si>
  <si>
    <t>Lu</t>
  </si>
  <si>
    <t>Meixi (Mikky)</t>
  </si>
  <si>
    <t>WHOOP</t>
  </si>
  <si>
    <t>Senior Software Engineer (MLOps)</t>
  </si>
  <si>
    <t>https://www.linkedin.com/in/meixilu/</t>
  </si>
  <si>
    <t>Simmons</t>
  </si>
  <si>
    <t>Hannah</t>
  </si>
  <si>
    <t>Clinical Data Scientist</t>
  </si>
  <si>
    <t>https://www.linkedin.com/in/hannah-simmons-845374132/</t>
  </si>
  <si>
    <t>Shreya</t>
  </si>
  <si>
    <t>https://www.linkedin.com/in/shreya-singh-a985211a0/</t>
  </si>
  <si>
    <t>Intuit, Data Scientist Intern</t>
  </si>
  <si>
    <t>Spence</t>
  </si>
  <si>
    <t>Russell Morgan III</t>
  </si>
  <si>
    <t>Morningstar</t>
  </si>
  <si>
    <t>https://www.linkedin.com/in/russell-spence-838b431b8/</t>
  </si>
  <si>
    <t>BioCoach, AI/ML intern</t>
  </si>
  <si>
    <t>Fall 2025</t>
  </si>
  <si>
    <t>Video gestures of psychological risk</t>
  </si>
  <si>
    <t>Lakshminarayanan</t>
  </si>
  <si>
    <t>Shruti Saagar</t>
  </si>
  <si>
    <t>Vilva.ai</t>
  </si>
  <si>
    <t>shrutisaagar13@gmail.com</t>
  </si>
  <si>
    <t>https://www.linkedin.com/in/shruti-saagar/</t>
  </si>
  <si>
    <t>Becise</t>
  </si>
  <si>
    <t>Tesla, Full Stack Engineer</t>
  </si>
  <si>
    <t>Find contradictions in neuroscience papers</t>
  </si>
  <si>
    <t>Plotkin</t>
  </si>
  <si>
    <t>Daniel</t>
  </si>
  <si>
    <t>Phillips Edison&amp; Company</t>
  </si>
  <si>
    <t>Lead AI Architect</t>
  </si>
  <si>
    <t>Real Estate</t>
  </si>
  <si>
    <t>plotkidm@mail.uc.edu</t>
  </si>
  <si>
    <t>https://www.linkedin.com/in/daniel-plotkin-/</t>
  </si>
  <si>
    <t>Mo</t>
  </si>
  <si>
    <t>Since</t>
  </si>
  <si>
    <t>Artificial Intelligence Lead</t>
  </si>
  <si>
    <t>Tekscape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</si>
</sst>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E2A84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3" fillId="0" borderId="1" xfId="0" applyFont="1" applyBorder="1" applyAlignment="1">
      <alignment readingOrder="1"/>
    </xf>
    <xf numFmtId="0" fontId="4" fillId="0" borderId="0" xfId="0" applyFont="1"/>
    <xf numFmtId="14" fontId="3" fillId="0" borderId="0" xfId="0" applyNumberFormat="1" applyFont="1" applyAlignment="1">
      <alignment readingOrder="1"/>
    </xf>
    <xf numFmtId="0" fontId="3" fillId="0" borderId="0" xfId="0" applyFont="1" applyAlignment="1">
      <alignment readingOrder="1"/>
    </xf>
    <xf numFmtId="0" fontId="1" fillId="0" borderId="0" xfId="1" applyBorder="1" applyAlignment="1">
      <alignment readingOrder="1"/>
    </xf>
    <xf numFmtId="0" fontId="3" fillId="0" borderId="2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readingOrder="1"/>
    </xf>
    <xf numFmtId="14" fontId="3" fillId="3" borderId="0" xfId="0" applyNumberFormat="1" applyFont="1" applyFill="1" applyAlignment="1">
      <alignment readingOrder="1"/>
    </xf>
    <xf numFmtId="0" fontId="1" fillId="3" borderId="0" xfId="1" applyFill="1" applyBorder="1" applyAlignment="1">
      <alignment readingOrder="1"/>
    </xf>
    <xf numFmtId="0" fontId="0" fillId="3" borderId="0" xfId="0" applyFill="1"/>
    <xf numFmtId="164" fontId="2" fillId="2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readingOrder="1"/>
    </xf>
    <xf numFmtId="164" fontId="3" fillId="3" borderId="0" xfId="0" applyNumberFormat="1" applyFont="1" applyFill="1" applyAlignment="1">
      <alignment readingOrder="1"/>
    </xf>
    <xf numFmtId="164" fontId="0" fillId="0" borderId="0" xfId="0" applyNumberFormat="1"/>
    <xf numFmtId="1" fontId="2" fillId="2" borderId="0" xfId="0" applyNumberFormat="1" applyFont="1" applyFill="1" applyAlignment="1">
      <alignment horizontal="center" vertical="center" wrapText="1"/>
    </xf>
    <xf numFmtId="1" fontId="3" fillId="0" borderId="0" xfId="0" applyNumberFormat="1" applyFont="1" applyAlignment="1">
      <alignment readingOrder="1"/>
    </xf>
    <xf numFmtId="1" fontId="3" fillId="3" borderId="0" xfId="0" applyNumberFormat="1" applyFont="1" applyFill="1" applyAlignment="1">
      <alignment readingOrder="1"/>
    </xf>
    <xf numFmtId="1" fontId="0" fillId="0" borderId="0" xfId="0" applyNumberFormat="1"/>
    <xf numFmtId="0" fontId="3" fillId="3" borderId="4" xfId="0" applyFont="1" applyFill="1" applyBorder="1" applyAlignment="1">
      <alignment readingOrder="1"/>
    </xf>
    <xf numFmtId="0" fontId="3" fillId="3" borderId="2" xfId="0" applyFont="1" applyFill="1" applyBorder="1" applyAlignment="1">
      <alignment readingOrder="1"/>
    </xf>
    <xf numFmtId="0" fontId="3" fillId="3" borderId="1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14" fontId="0" fillId="3" borderId="4" xfId="0" applyNumberFormat="1" applyFill="1" applyBorder="1"/>
    <xf numFmtId="0" fontId="0" fillId="3" borderId="2" xfId="0" applyFill="1" applyBorder="1"/>
    <xf numFmtId="0" fontId="0" fillId="3" borderId="1" xfId="0" applyFill="1" applyBorder="1"/>
    <xf numFmtId="0" fontId="0" fillId="3" borderId="7" xfId="0" applyFill="1" applyBorder="1"/>
    <xf numFmtId="0" fontId="3" fillId="3" borderId="5" xfId="0" applyFont="1" applyFill="1" applyBorder="1" applyAlignment="1">
      <alignment readingOrder="1"/>
    </xf>
    <xf numFmtId="0" fontId="1" fillId="3" borderId="0" xfId="1" applyFill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E2A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vikramai/" TargetMode="External"/><Relationship Id="rId18" Type="http://schemas.openxmlformats.org/officeDocument/2006/relationships/hyperlink" Target="https://www.linkedin.com/in/vishvesh-sheoran/" TargetMode="External"/><Relationship Id="rId26" Type="http://schemas.openxmlformats.org/officeDocument/2006/relationships/hyperlink" Target="https://www.linkedin.com/in/rohinnanavati/" TargetMode="External"/><Relationship Id="rId39" Type="http://schemas.openxmlformats.org/officeDocument/2006/relationships/hyperlink" Target="mailto:ikhlas.attarwala@gmail.com" TargetMode="External"/><Relationship Id="rId21" Type="http://schemas.openxmlformats.org/officeDocument/2006/relationships/hyperlink" Target="https://www.linkedin.com/in/theresaandreacorrales/" TargetMode="External"/><Relationship Id="rId34" Type="http://schemas.openxmlformats.org/officeDocument/2006/relationships/hyperlink" Target="https://www.linkedin.com/in/aisaro/" TargetMode="External"/><Relationship Id="rId42" Type="http://schemas.openxmlformats.org/officeDocument/2006/relationships/hyperlink" Target="mailto:brandonharris93@gmail.com" TargetMode="External"/><Relationship Id="rId7" Type="http://schemas.openxmlformats.org/officeDocument/2006/relationships/hyperlink" Target="https://www.linkedin.com/in/sundaramx/" TargetMode="External"/><Relationship Id="rId2" Type="http://schemas.openxmlformats.org/officeDocument/2006/relationships/hyperlink" Target="https://www.linkedin.com/in/souvikbagchi/" TargetMode="External"/><Relationship Id="rId16" Type="http://schemas.openxmlformats.org/officeDocument/2006/relationships/hyperlink" Target="https://www.linkedin.com/in/preetham-pareddy-667a4b18b/" TargetMode="External"/><Relationship Id="rId29" Type="http://schemas.openxmlformats.org/officeDocument/2006/relationships/hyperlink" Target="https://www.linkedin.com/in/matt-anikiej-956920184/" TargetMode="External"/><Relationship Id="rId1" Type="http://schemas.openxmlformats.org/officeDocument/2006/relationships/hyperlink" Target="https://www.linkedin.com/in/ikhlas-attarwala/" TargetMode="External"/><Relationship Id="rId6" Type="http://schemas.openxmlformats.org/officeDocument/2006/relationships/hyperlink" Target="https://www.linkedin.com/in/imamov-akbar/" TargetMode="External"/><Relationship Id="rId11" Type="http://schemas.openxmlformats.org/officeDocument/2006/relationships/hyperlink" Target="https://www.linkedin.com/in/krishseth/" TargetMode="External"/><Relationship Id="rId24" Type="http://schemas.openxmlformats.org/officeDocument/2006/relationships/hyperlink" Target="https://www.linkedin.com/in/david-mcdevitt-68908397/" TargetMode="External"/><Relationship Id="rId32" Type="http://schemas.openxmlformats.org/officeDocument/2006/relationships/hyperlink" Target="https://www.linkedin.com/in/karangarkel/" TargetMode="External"/><Relationship Id="rId37" Type="http://schemas.openxmlformats.org/officeDocument/2006/relationships/hyperlink" Target="https://www.linkedin.com/in/shreya-singh-a985211a0/" TargetMode="External"/><Relationship Id="rId40" Type="http://schemas.openxmlformats.org/officeDocument/2006/relationships/hyperlink" Target="mailto:souvik.bagchi@gmail.com" TargetMode="External"/><Relationship Id="rId45" Type="http://schemas.openxmlformats.org/officeDocument/2006/relationships/hyperlink" Target="https://www.linkedin.com/in/gvsakash3/" TargetMode="External"/><Relationship Id="rId5" Type="http://schemas.openxmlformats.org/officeDocument/2006/relationships/hyperlink" Target="https://www.linkedin.com/in/grantgasser/" TargetMode="External"/><Relationship Id="rId15" Type="http://schemas.openxmlformats.org/officeDocument/2006/relationships/hyperlink" Target="https://www.linkedin.com/in/tejulpandit/" TargetMode="External"/><Relationship Id="rId23" Type="http://schemas.openxmlformats.org/officeDocument/2006/relationships/hyperlink" Target="https://www.linkedin.com/in/laura-machlab-2b44a9235/" TargetMode="External"/><Relationship Id="rId28" Type="http://schemas.openxmlformats.org/officeDocument/2006/relationships/hyperlink" Target="https://www.linkedin.com/in/ruichun-zhang-ba4032179/" TargetMode="External"/><Relationship Id="rId36" Type="http://schemas.openxmlformats.org/officeDocument/2006/relationships/hyperlink" Target="https://www.linkedin.com/in/hannah-simmons-845374132/" TargetMode="External"/><Relationship Id="rId10" Type="http://schemas.openxmlformats.org/officeDocument/2006/relationships/hyperlink" Target="https://www.linkedin.com/in/igororyzhkov/" TargetMode="External"/><Relationship Id="rId19" Type="http://schemas.openxmlformats.org/officeDocument/2006/relationships/hyperlink" Target="https://www.linkedin.com/in/shalinsparikh/" TargetMode="External"/><Relationship Id="rId31" Type="http://schemas.openxmlformats.org/officeDocument/2006/relationships/hyperlink" Target="https://www.linkedin.com/in/namangarg110/" TargetMode="External"/><Relationship Id="rId44" Type="http://schemas.openxmlformats.org/officeDocument/2006/relationships/hyperlink" Target="https://www.linkedin.com/in/shruti-saagar/" TargetMode="External"/><Relationship Id="rId4" Type="http://schemas.openxmlformats.org/officeDocument/2006/relationships/hyperlink" Target="https://www.linkedin.com/in/brandon-s-harris/" TargetMode="External"/><Relationship Id="rId9" Type="http://schemas.openxmlformats.org/officeDocument/2006/relationships/hyperlink" Target="https://www.linkedin.com/in/masum-patel/" TargetMode="External"/><Relationship Id="rId14" Type="http://schemas.openxmlformats.org/officeDocument/2006/relationships/hyperlink" Target="https://www.linkedin.com/in/tianchang-li-0601/" TargetMode="External"/><Relationship Id="rId22" Type="http://schemas.openxmlformats.org/officeDocument/2006/relationships/hyperlink" Target="https://www.linkedin.com/in/shruthi-hariharan-409538211/" TargetMode="External"/><Relationship Id="rId27" Type="http://schemas.openxmlformats.org/officeDocument/2006/relationships/hyperlink" Target="https://www.linkedin.com/in/akangkshya/" TargetMode="External"/><Relationship Id="rId30" Type="http://schemas.openxmlformats.org/officeDocument/2006/relationships/hyperlink" Target="https://www.linkedin.com/in/pavandharmoju/" TargetMode="External"/><Relationship Id="rId35" Type="http://schemas.openxmlformats.org/officeDocument/2006/relationships/hyperlink" Target="https://www.linkedin.com/in/meixilu/" TargetMode="External"/><Relationship Id="rId43" Type="http://schemas.openxmlformats.org/officeDocument/2006/relationships/hyperlink" Target="https://www.linkedin.com/in/daniel-plotkin-/" TargetMode="External"/><Relationship Id="rId8" Type="http://schemas.openxmlformats.org/officeDocument/2006/relationships/hyperlink" Target="https://www.linkedin.com/in/justin-chae/" TargetMode="External"/><Relationship Id="rId3" Type="http://schemas.openxmlformats.org/officeDocument/2006/relationships/hyperlink" Target="https://www.linkedin.com/in/jaieusheil/" TargetMode="External"/><Relationship Id="rId12" Type="http://schemas.openxmlformats.org/officeDocument/2006/relationships/hyperlink" Target="https://www.linkedin.com/in/kavya-jaganathan-90a1921a8/" TargetMode="External"/><Relationship Id="rId17" Type="http://schemas.openxmlformats.org/officeDocument/2006/relationships/hyperlink" Target="https://www.linkedin.com/in/hlqin/" TargetMode="External"/><Relationship Id="rId25" Type="http://schemas.openxmlformats.org/officeDocument/2006/relationships/hyperlink" Target="https://www.linkedin.com/in/yaqim/" TargetMode="External"/><Relationship Id="rId33" Type="http://schemas.openxmlformats.org/officeDocument/2006/relationships/hyperlink" Target="https://www.linkedin.com/in/rohang17/" TargetMode="External"/><Relationship Id="rId38" Type="http://schemas.openxmlformats.org/officeDocument/2006/relationships/hyperlink" Target="https://www.linkedin.com/in/russell-spence-838b431b8/" TargetMode="External"/><Relationship Id="rId20" Type="http://schemas.openxmlformats.org/officeDocument/2006/relationships/hyperlink" Target="https://www.linkedin.com/in/vansh-agarwal777/" TargetMode="External"/><Relationship Id="rId41" Type="http://schemas.openxmlformats.org/officeDocument/2006/relationships/hyperlink" Target="mailto:jaieu.she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B085-0033-4C13-8E13-048A611C6368}">
  <dimension ref="A1:P42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1" max="1" width="31.5" bestFit="1" customWidth="1"/>
    <col min="2" max="2" width="4.1640625" style="28" bestFit="1" customWidth="1"/>
    <col min="3" max="3" width="7.83203125" style="24" bestFit="1" customWidth="1"/>
    <col min="4" max="4" width="14.1640625" bestFit="1" customWidth="1"/>
    <col min="5" max="5" width="24.33203125" bestFit="1" customWidth="1"/>
    <col min="6" max="6" width="30" bestFit="1" customWidth="1"/>
    <col min="7" max="7" width="34.83203125" bestFit="1" customWidth="1"/>
    <col min="8" max="8" width="15.83203125" customWidth="1"/>
    <col min="9" max="9" width="59.5" bestFit="1" customWidth="1"/>
    <col min="10" max="10" width="37.33203125" customWidth="1"/>
    <col min="11" max="11" width="30.33203125" style="4" customWidth="1"/>
    <col min="12" max="12" width="38" customWidth="1"/>
    <col min="13" max="13" width="10.6640625" customWidth="1"/>
    <col min="14" max="14" width="11.6640625" customWidth="1"/>
    <col min="15" max="15" width="12.5" customWidth="1"/>
    <col min="16" max="16" width="12.83203125" customWidth="1"/>
  </cols>
  <sheetData>
    <row r="1" spans="1:16" s="2" customFormat="1" ht="48" x14ac:dyDescent="0.2">
      <c r="A1" s="1" t="s">
        <v>3</v>
      </c>
      <c r="B1" s="25" t="s">
        <v>337</v>
      </c>
      <c r="C1" s="21" t="s">
        <v>338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5</v>
      </c>
      <c r="I1" s="1" t="s">
        <v>7</v>
      </c>
      <c r="J1" s="1" t="s">
        <v>6</v>
      </c>
      <c r="K1" s="3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6" t="s">
        <v>13</v>
      </c>
    </row>
    <row r="2" spans="1:16" x14ac:dyDescent="0.2">
      <c r="A2" s="8" t="s">
        <v>116</v>
      </c>
      <c r="B2" s="26">
        <f t="shared" ref="B2:B42" ca="1" si="0">(TODAY()-C2)/30</f>
        <v>16.766666666666666</v>
      </c>
      <c r="C2" s="22">
        <v>45597</v>
      </c>
      <c r="D2" s="7" t="s">
        <v>184</v>
      </c>
      <c r="E2" s="8" t="s">
        <v>196</v>
      </c>
      <c r="F2" s="8" t="s">
        <v>197</v>
      </c>
      <c r="G2" s="8" t="s">
        <v>198</v>
      </c>
      <c r="H2" s="8" t="s">
        <v>68</v>
      </c>
      <c r="I2" s="9" t="s">
        <v>200</v>
      </c>
      <c r="J2" s="8" t="s">
        <v>199</v>
      </c>
      <c r="K2" s="8"/>
      <c r="L2" s="8"/>
      <c r="N2" s="8" t="s">
        <v>93</v>
      </c>
      <c r="O2" s="8" t="s">
        <v>201</v>
      </c>
      <c r="P2" s="8" t="s">
        <v>202</v>
      </c>
    </row>
    <row r="3" spans="1:16" x14ac:dyDescent="0.2">
      <c r="A3" s="8" t="s">
        <v>288</v>
      </c>
      <c r="B3" s="26">
        <f t="shared" ca="1" si="0"/>
        <v>11.733333333333333</v>
      </c>
      <c r="C3" s="22">
        <v>45748</v>
      </c>
      <c r="D3" s="7" t="s">
        <v>256</v>
      </c>
      <c r="E3" s="8" t="s">
        <v>286</v>
      </c>
      <c r="F3" s="8" t="s">
        <v>287</v>
      </c>
      <c r="G3" s="8" t="s">
        <v>289</v>
      </c>
      <c r="H3" s="8" t="s">
        <v>36</v>
      </c>
      <c r="I3" s="9" t="s">
        <v>290</v>
      </c>
      <c r="J3" s="8"/>
      <c r="K3" s="8"/>
      <c r="L3" s="8"/>
      <c r="N3" s="8" t="s">
        <v>209</v>
      </c>
      <c r="O3" s="11" t="s">
        <v>291</v>
      </c>
      <c r="P3" s="15" t="s">
        <v>292</v>
      </c>
    </row>
    <row r="4" spans="1:16" x14ac:dyDescent="0.2">
      <c r="A4" s="8" t="s">
        <v>288</v>
      </c>
      <c r="B4" s="26">
        <f t="shared" ca="1" si="0"/>
        <v>12.766666666666667</v>
      </c>
      <c r="C4" s="22">
        <v>45717</v>
      </c>
      <c r="D4" s="7" t="s">
        <v>256</v>
      </c>
      <c r="E4" s="8" t="s">
        <v>176</v>
      </c>
      <c r="F4" s="8" t="s">
        <v>312</v>
      </c>
      <c r="G4" s="8" t="s">
        <v>51</v>
      </c>
      <c r="H4" s="8" t="s">
        <v>36</v>
      </c>
      <c r="I4" s="9" t="s">
        <v>313</v>
      </c>
      <c r="J4" s="8"/>
      <c r="K4" s="8"/>
      <c r="L4" s="8"/>
      <c r="N4" s="8" t="s">
        <v>265</v>
      </c>
      <c r="O4" s="10" t="s">
        <v>314</v>
      </c>
      <c r="P4" s="14" t="s">
        <v>301</v>
      </c>
    </row>
    <row r="5" spans="1:16" s="20" customFormat="1" x14ac:dyDescent="0.2">
      <c r="A5" s="17" t="s">
        <v>110</v>
      </c>
      <c r="B5" s="27">
        <f t="shared" ca="1" si="0"/>
        <v>51.266666666666666</v>
      </c>
      <c r="C5" s="23">
        <v>44562</v>
      </c>
      <c r="D5" s="18" t="s">
        <v>81</v>
      </c>
      <c r="E5" s="17" t="s">
        <v>108</v>
      </c>
      <c r="F5" s="17" t="s">
        <v>109</v>
      </c>
      <c r="G5" s="17" t="s">
        <v>111</v>
      </c>
      <c r="H5" s="17" t="s">
        <v>36</v>
      </c>
      <c r="I5" s="19" t="s">
        <v>113</v>
      </c>
      <c r="J5" s="17" t="s">
        <v>112</v>
      </c>
      <c r="K5" s="17"/>
      <c r="L5" s="17"/>
      <c r="N5" s="17" t="s">
        <v>110</v>
      </c>
      <c r="O5" s="30" t="s">
        <v>114</v>
      </c>
      <c r="P5" s="32" t="s">
        <v>93</v>
      </c>
    </row>
    <row r="6" spans="1:16" x14ac:dyDescent="0.2">
      <c r="A6" s="8" t="s">
        <v>251</v>
      </c>
      <c r="B6" s="26">
        <f t="shared" ca="1" si="0"/>
        <v>23.9</v>
      </c>
      <c r="C6" s="22">
        <v>45383</v>
      </c>
      <c r="D6" s="7" t="s">
        <v>184</v>
      </c>
      <c r="E6" s="8" t="s">
        <v>249</v>
      </c>
      <c r="F6" s="8" t="s">
        <v>250</v>
      </c>
      <c r="G6" s="8" t="s">
        <v>47</v>
      </c>
      <c r="H6" s="8" t="s">
        <v>68</v>
      </c>
      <c r="I6" s="9" t="s">
        <v>253</v>
      </c>
      <c r="J6" s="8" t="s">
        <v>252</v>
      </c>
      <c r="K6" s="8"/>
      <c r="L6" s="8"/>
      <c r="N6" s="11" t="s">
        <v>254</v>
      </c>
      <c r="O6" s="5" t="s">
        <v>255</v>
      </c>
      <c r="P6" s="14" t="s">
        <v>248</v>
      </c>
    </row>
    <row r="7" spans="1:16" x14ac:dyDescent="0.2">
      <c r="A7" s="8" t="s">
        <v>64</v>
      </c>
      <c r="B7" s="26">
        <f t="shared" ca="1" si="0"/>
        <v>55.333333333333336</v>
      </c>
      <c r="C7" s="22">
        <v>44440</v>
      </c>
      <c r="D7" s="7" t="s">
        <v>56</v>
      </c>
      <c r="E7" s="8" t="s">
        <v>62</v>
      </c>
      <c r="F7" s="8" t="s">
        <v>63</v>
      </c>
      <c r="G7" s="8" t="s">
        <v>65</v>
      </c>
      <c r="H7" s="8" t="s">
        <v>29</v>
      </c>
      <c r="I7" s="9" t="s">
        <v>67</v>
      </c>
      <c r="J7" s="8" t="s">
        <v>66</v>
      </c>
      <c r="K7" s="8"/>
      <c r="L7" s="8"/>
      <c r="N7" s="10"/>
      <c r="O7" s="5"/>
      <c r="P7" s="14"/>
    </row>
    <row r="8" spans="1:16" x14ac:dyDescent="0.2">
      <c r="A8" s="8" t="s">
        <v>259</v>
      </c>
      <c r="B8" s="26">
        <f t="shared" ca="1" si="0"/>
        <v>1.5333333333333334</v>
      </c>
      <c r="C8" s="22">
        <v>46054</v>
      </c>
      <c r="D8" s="7" t="s">
        <v>256</v>
      </c>
      <c r="E8" s="8" t="s">
        <v>257</v>
      </c>
      <c r="F8" s="8" t="s">
        <v>258</v>
      </c>
      <c r="G8" s="8" t="s">
        <v>103</v>
      </c>
      <c r="H8" s="8" t="s">
        <v>260</v>
      </c>
      <c r="I8" s="9" t="s">
        <v>261</v>
      </c>
      <c r="J8" s="8"/>
      <c r="K8" s="8"/>
      <c r="L8" s="8"/>
      <c r="N8" s="10" t="s">
        <v>262</v>
      </c>
      <c r="O8" s="5" t="s">
        <v>263</v>
      </c>
      <c r="P8" s="14" t="s">
        <v>264</v>
      </c>
    </row>
    <row r="9" spans="1:16" x14ac:dyDescent="0.2">
      <c r="A9" s="8" t="s">
        <v>18</v>
      </c>
      <c r="B9" s="26">
        <f t="shared" ca="1" si="0"/>
        <v>52.3</v>
      </c>
      <c r="C9" s="22">
        <v>44531</v>
      </c>
      <c r="D9" s="7" t="s">
        <v>14</v>
      </c>
      <c r="E9" s="8" t="s">
        <v>16</v>
      </c>
      <c r="F9" s="8" t="s">
        <v>17</v>
      </c>
      <c r="G9" s="8" t="s">
        <v>19</v>
      </c>
      <c r="H9" s="8" t="s">
        <v>20</v>
      </c>
      <c r="I9" s="9" t="s">
        <v>22</v>
      </c>
      <c r="J9" s="9" t="s">
        <v>21</v>
      </c>
      <c r="K9" s="8"/>
      <c r="L9" s="8"/>
      <c r="N9" s="10"/>
      <c r="O9" s="5" t="s">
        <v>23</v>
      </c>
      <c r="P9" s="14" t="s">
        <v>24</v>
      </c>
    </row>
    <row r="10" spans="1:16" s="20" customFormat="1" x14ac:dyDescent="0.2">
      <c r="A10" s="17" t="s">
        <v>160</v>
      </c>
      <c r="B10" s="27">
        <f t="shared" ca="1" si="0"/>
        <v>33.06666666666667</v>
      </c>
      <c r="C10" s="23">
        <v>45108</v>
      </c>
      <c r="D10" s="18" t="s">
        <v>115</v>
      </c>
      <c r="E10" s="17" t="s">
        <v>158</v>
      </c>
      <c r="F10" s="17" t="s">
        <v>159</v>
      </c>
      <c r="G10" s="17" t="s">
        <v>161</v>
      </c>
      <c r="H10" s="17" t="s">
        <v>29</v>
      </c>
      <c r="I10" s="19" t="s">
        <v>163</v>
      </c>
      <c r="J10" s="17" t="s">
        <v>162</v>
      </c>
      <c r="K10" s="17"/>
      <c r="L10" s="17"/>
      <c r="N10" s="30" t="s">
        <v>117</v>
      </c>
      <c r="O10" s="32" t="s">
        <v>164</v>
      </c>
      <c r="P10" s="17" t="s">
        <v>122</v>
      </c>
    </row>
    <row r="11" spans="1:16" x14ac:dyDescent="0.2">
      <c r="A11" s="8" t="s">
        <v>96</v>
      </c>
      <c r="B11" s="26">
        <f t="shared" ca="1" si="0"/>
        <v>15.766666666666667</v>
      </c>
      <c r="C11" s="22">
        <v>45627</v>
      </c>
      <c r="D11" s="7" t="s">
        <v>81</v>
      </c>
      <c r="E11" s="8" t="s">
        <v>94</v>
      </c>
      <c r="F11" s="8" t="s">
        <v>95</v>
      </c>
      <c r="G11" s="8" t="s">
        <v>51</v>
      </c>
      <c r="H11" s="8" t="s">
        <v>43</v>
      </c>
      <c r="I11" s="9" t="s">
        <v>98</v>
      </c>
      <c r="J11" s="8" t="s">
        <v>97</v>
      </c>
      <c r="K11" s="8"/>
      <c r="L11" s="8"/>
      <c r="N11" s="10" t="s">
        <v>82</v>
      </c>
      <c r="O11" s="14" t="s">
        <v>99</v>
      </c>
      <c r="P11" s="8" t="s">
        <v>100</v>
      </c>
    </row>
    <row r="12" spans="1:16" s="20" customFormat="1" x14ac:dyDescent="0.2">
      <c r="A12" s="29" t="s">
        <v>146</v>
      </c>
      <c r="B12" s="27">
        <f t="shared" ca="1" si="0"/>
        <v>14.733333333333333</v>
      </c>
      <c r="C12" s="23">
        <v>45658</v>
      </c>
      <c r="D12" s="18" t="s">
        <v>115</v>
      </c>
      <c r="E12" s="29" t="s">
        <v>144</v>
      </c>
      <c r="F12" s="17" t="s">
        <v>145</v>
      </c>
      <c r="G12" s="17" t="s">
        <v>147</v>
      </c>
      <c r="H12" s="17" t="s">
        <v>43</v>
      </c>
      <c r="I12" s="19" t="s">
        <v>149</v>
      </c>
      <c r="J12" s="17" t="s">
        <v>148</v>
      </c>
      <c r="K12" s="17"/>
      <c r="L12" s="17"/>
      <c r="N12" s="30" t="s">
        <v>150</v>
      </c>
      <c r="O12" s="32" t="s">
        <v>151</v>
      </c>
      <c r="P12" s="17" t="s">
        <v>143</v>
      </c>
    </row>
    <row r="13" spans="1:16" x14ac:dyDescent="0.2">
      <c r="A13" s="12" t="s">
        <v>86</v>
      </c>
      <c r="B13" s="26">
        <f t="shared" ca="1" si="0"/>
        <v>50.233333333333334</v>
      </c>
      <c r="C13" s="22">
        <v>44593</v>
      </c>
      <c r="D13" s="7" t="s">
        <v>81</v>
      </c>
      <c r="E13" s="12" t="s">
        <v>84</v>
      </c>
      <c r="F13" s="8" t="s">
        <v>85</v>
      </c>
      <c r="G13" s="8" t="s">
        <v>87</v>
      </c>
      <c r="H13" s="8" t="s">
        <v>36</v>
      </c>
      <c r="I13" s="9" t="s">
        <v>89</v>
      </c>
      <c r="J13" s="8" t="s">
        <v>88</v>
      </c>
      <c r="K13" s="8"/>
      <c r="L13" s="8"/>
      <c r="N13" s="10" t="s">
        <v>86</v>
      </c>
      <c r="O13" s="14" t="s">
        <v>90</v>
      </c>
      <c r="P13" s="8" t="s">
        <v>91</v>
      </c>
    </row>
    <row r="14" spans="1:16" x14ac:dyDescent="0.2">
      <c r="A14" s="12" t="s">
        <v>187</v>
      </c>
      <c r="B14" s="26">
        <f t="shared" ca="1" si="0"/>
        <v>14.733333333333333</v>
      </c>
      <c r="C14" s="22">
        <v>45658</v>
      </c>
      <c r="D14" s="7" t="s">
        <v>184</v>
      </c>
      <c r="E14" s="12" t="s">
        <v>185</v>
      </c>
      <c r="F14" s="8" t="s">
        <v>186</v>
      </c>
      <c r="G14" s="8" t="s">
        <v>188</v>
      </c>
      <c r="H14" s="8" t="s">
        <v>36</v>
      </c>
      <c r="I14" s="9" t="s">
        <v>190</v>
      </c>
      <c r="J14" s="8" t="s">
        <v>189</v>
      </c>
      <c r="K14" s="8"/>
      <c r="L14" s="8"/>
      <c r="N14" s="10" t="s">
        <v>129</v>
      </c>
      <c r="O14" s="14" t="s">
        <v>191</v>
      </c>
      <c r="P14" s="8" t="s">
        <v>192</v>
      </c>
    </row>
    <row r="15" spans="1:16" s="20" customFormat="1" x14ac:dyDescent="0.2">
      <c r="A15" s="29" t="s">
        <v>235</v>
      </c>
      <c r="B15" s="27">
        <f t="shared" ca="1" si="0"/>
        <v>26.933333333333334</v>
      </c>
      <c r="C15" s="23">
        <v>45292</v>
      </c>
      <c r="D15" s="18" t="s">
        <v>184</v>
      </c>
      <c r="E15" s="29" t="s">
        <v>233</v>
      </c>
      <c r="F15" s="17" t="s">
        <v>234</v>
      </c>
      <c r="G15" s="17" t="s">
        <v>236</v>
      </c>
      <c r="H15" s="17" t="s">
        <v>152</v>
      </c>
      <c r="I15" s="19" t="s">
        <v>238</v>
      </c>
      <c r="J15" s="17" t="s">
        <v>237</v>
      </c>
      <c r="K15" s="17"/>
      <c r="L15" s="17"/>
      <c r="N15" s="30" t="s">
        <v>216</v>
      </c>
      <c r="O15" s="32" t="s">
        <v>239</v>
      </c>
      <c r="P15" s="17" t="s">
        <v>240</v>
      </c>
    </row>
    <row r="16" spans="1:16" x14ac:dyDescent="0.2">
      <c r="A16" s="12" t="s">
        <v>50</v>
      </c>
      <c r="B16" s="26">
        <f t="shared" ca="1" si="0"/>
        <v>58.4</v>
      </c>
      <c r="C16" s="22">
        <v>44348</v>
      </c>
      <c r="D16" s="7" t="s">
        <v>46</v>
      </c>
      <c r="E16" s="12" t="s">
        <v>48</v>
      </c>
      <c r="F16" s="8" t="s">
        <v>49</v>
      </c>
      <c r="G16" s="8" t="s">
        <v>51</v>
      </c>
      <c r="H16" s="8" t="s">
        <v>52</v>
      </c>
      <c r="I16" s="9" t="s">
        <v>54</v>
      </c>
      <c r="J16" s="9" t="s">
        <v>53</v>
      </c>
      <c r="K16" s="8"/>
      <c r="L16" s="8"/>
      <c r="N16" s="10"/>
      <c r="O16" s="14"/>
      <c r="P16" s="8"/>
    </row>
    <row r="17" spans="1:16" x14ac:dyDescent="0.2">
      <c r="A17" s="12" t="s">
        <v>125</v>
      </c>
      <c r="B17" s="26">
        <f t="shared" ca="1" si="0"/>
        <v>39.1</v>
      </c>
      <c r="C17" s="22">
        <v>44927</v>
      </c>
      <c r="D17" s="7" t="s">
        <v>115</v>
      </c>
      <c r="E17" s="12" t="s">
        <v>123</v>
      </c>
      <c r="F17" s="8" t="s">
        <v>124</v>
      </c>
      <c r="G17" s="8" t="s">
        <v>126</v>
      </c>
      <c r="H17" s="8" t="s">
        <v>20</v>
      </c>
      <c r="I17" s="9" t="s">
        <v>128</v>
      </c>
      <c r="J17" s="8" t="s">
        <v>127</v>
      </c>
      <c r="K17" s="8"/>
      <c r="L17" s="8"/>
      <c r="N17" s="10" t="s">
        <v>129</v>
      </c>
      <c r="O17" s="5" t="s">
        <v>130</v>
      </c>
      <c r="P17" s="15" t="s">
        <v>118</v>
      </c>
    </row>
    <row r="18" spans="1:16" x14ac:dyDescent="0.2">
      <c r="A18" s="12" t="s">
        <v>41</v>
      </c>
      <c r="B18" s="26">
        <f t="shared" ca="1" si="0"/>
        <v>18.8</v>
      </c>
      <c r="C18" s="22">
        <v>45536</v>
      </c>
      <c r="D18" s="6" t="s">
        <v>14</v>
      </c>
      <c r="E18" s="12" t="s">
        <v>39</v>
      </c>
      <c r="F18" s="8" t="s">
        <v>40</v>
      </c>
      <c r="G18" s="8" t="s">
        <v>42</v>
      </c>
      <c r="H18" s="8" t="s">
        <v>43</v>
      </c>
      <c r="I18" s="9" t="s">
        <v>45</v>
      </c>
      <c r="J18" s="9" t="s">
        <v>44</v>
      </c>
      <c r="K18" s="8"/>
      <c r="L18" s="8" t="s">
        <v>15</v>
      </c>
      <c r="N18" s="10"/>
      <c r="O18" s="5"/>
      <c r="P18" s="14"/>
    </row>
    <row r="19" spans="1:16" x14ac:dyDescent="0.2">
      <c r="A19" s="12" t="s">
        <v>340</v>
      </c>
      <c r="B19" s="26">
        <f t="shared" ca="1" si="0"/>
        <v>10.733333333333333</v>
      </c>
      <c r="C19" s="22">
        <v>45778</v>
      </c>
      <c r="D19" s="7" t="s">
        <v>115</v>
      </c>
      <c r="E19" s="12" t="s">
        <v>171</v>
      </c>
      <c r="F19" s="8" t="s">
        <v>172</v>
      </c>
      <c r="G19" s="8" t="s">
        <v>339</v>
      </c>
      <c r="H19" s="8" t="s">
        <v>55</v>
      </c>
      <c r="I19" s="9" t="s">
        <v>174</v>
      </c>
      <c r="J19" s="8" t="s">
        <v>173</v>
      </c>
      <c r="K19" s="8"/>
      <c r="L19" s="8"/>
      <c r="N19" s="10" t="s">
        <v>121</v>
      </c>
      <c r="O19" s="5" t="s">
        <v>175</v>
      </c>
      <c r="P19" s="14" t="s">
        <v>120</v>
      </c>
    </row>
    <row r="20" spans="1:16" x14ac:dyDescent="0.2">
      <c r="A20" s="12" t="s">
        <v>133</v>
      </c>
      <c r="B20" s="26">
        <f t="shared" ca="1" si="0"/>
        <v>14.733333333333333</v>
      </c>
      <c r="C20" s="22">
        <v>45658</v>
      </c>
      <c r="D20" s="7" t="s">
        <v>115</v>
      </c>
      <c r="E20" s="12" t="s">
        <v>131</v>
      </c>
      <c r="F20" s="8" t="s">
        <v>132</v>
      </c>
      <c r="G20" s="8" t="s">
        <v>111</v>
      </c>
      <c r="H20" s="8" t="s">
        <v>134</v>
      </c>
      <c r="I20" s="9" t="s">
        <v>136</v>
      </c>
      <c r="J20" s="8" t="s">
        <v>135</v>
      </c>
      <c r="K20" s="8"/>
      <c r="L20" s="8"/>
      <c r="N20" s="10" t="s">
        <v>33</v>
      </c>
      <c r="O20" s="5" t="s">
        <v>137</v>
      </c>
      <c r="P20" s="14" t="s">
        <v>138</v>
      </c>
    </row>
    <row r="21" spans="1:16" s="20" customFormat="1" x14ac:dyDescent="0.2">
      <c r="A21" s="29" t="s">
        <v>59</v>
      </c>
      <c r="B21" s="27">
        <f t="shared" ca="1" si="0"/>
        <v>18.8</v>
      </c>
      <c r="C21" s="23">
        <v>45536</v>
      </c>
      <c r="D21" s="18" t="s">
        <v>56</v>
      </c>
      <c r="E21" s="29" t="s">
        <v>57</v>
      </c>
      <c r="F21" s="17" t="s">
        <v>58</v>
      </c>
      <c r="G21" s="17" t="s">
        <v>60</v>
      </c>
      <c r="H21" s="17" t="s">
        <v>36</v>
      </c>
      <c r="I21" s="19" t="s">
        <v>61</v>
      </c>
      <c r="J21" s="17"/>
      <c r="K21" s="17"/>
      <c r="L21" s="17"/>
      <c r="N21" s="30"/>
      <c r="O21" s="31"/>
      <c r="P21" s="32"/>
    </row>
    <row r="22" spans="1:16" x14ac:dyDescent="0.2">
      <c r="A22" s="12" t="s">
        <v>282</v>
      </c>
      <c r="B22" s="26">
        <f t="shared" ca="1" si="0"/>
        <v>10.733333333333333</v>
      </c>
      <c r="C22" s="22">
        <v>45778</v>
      </c>
      <c r="D22" s="7" t="s">
        <v>256</v>
      </c>
      <c r="E22" s="12" t="s">
        <v>280</v>
      </c>
      <c r="F22" s="8" t="s">
        <v>281</v>
      </c>
      <c r="G22" s="8" t="s">
        <v>51</v>
      </c>
      <c r="H22" s="8" t="s">
        <v>283</v>
      </c>
      <c r="I22" s="9" t="s">
        <v>284</v>
      </c>
      <c r="J22" s="8"/>
      <c r="K22" s="8"/>
      <c r="L22" s="8"/>
      <c r="N22" s="10" t="s">
        <v>209</v>
      </c>
      <c r="O22" s="5" t="s">
        <v>285</v>
      </c>
      <c r="P22" s="14" t="s">
        <v>279</v>
      </c>
    </row>
    <row r="23" spans="1:16" x14ac:dyDescent="0.2">
      <c r="A23" s="12" t="s">
        <v>269</v>
      </c>
      <c r="B23" s="26">
        <f t="shared" ca="1" si="0"/>
        <v>13.7</v>
      </c>
      <c r="C23" s="22">
        <v>45689</v>
      </c>
      <c r="D23" s="7" t="s">
        <v>256</v>
      </c>
      <c r="E23" s="12" t="s">
        <v>267</v>
      </c>
      <c r="F23" s="8" t="s">
        <v>268</v>
      </c>
      <c r="G23" s="8" t="s">
        <v>126</v>
      </c>
      <c r="H23" s="8" t="s">
        <v>34</v>
      </c>
      <c r="I23" s="9" t="s">
        <v>270</v>
      </c>
      <c r="J23" s="8"/>
      <c r="K23" s="8"/>
      <c r="L23" s="8"/>
      <c r="N23" s="10" t="s">
        <v>224</v>
      </c>
      <c r="O23" s="5" t="s">
        <v>271</v>
      </c>
      <c r="P23" s="14" t="s">
        <v>272</v>
      </c>
    </row>
    <row r="24" spans="1:16" s="20" customFormat="1" x14ac:dyDescent="0.2">
      <c r="A24" s="29" t="s">
        <v>213</v>
      </c>
      <c r="B24" s="27">
        <f t="shared" ca="1" si="0"/>
        <v>24.933333333333334</v>
      </c>
      <c r="C24" s="23">
        <v>45352</v>
      </c>
      <c r="D24" s="18" t="s">
        <v>184</v>
      </c>
      <c r="E24" s="29" t="s">
        <v>211</v>
      </c>
      <c r="F24" s="17" t="s">
        <v>212</v>
      </c>
      <c r="G24" s="17" t="s">
        <v>103</v>
      </c>
      <c r="H24" s="17" t="s">
        <v>43</v>
      </c>
      <c r="I24" s="19" t="s">
        <v>215</v>
      </c>
      <c r="J24" s="17" t="s">
        <v>214</v>
      </c>
      <c r="K24" s="17"/>
      <c r="L24" s="17"/>
      <c r="N24" s="30" t="s">
        <v>216</v>
      </c>
      <c r="O24" s="31" t="s">
        <v>217</v>
      </c>
      <c r="P24" s="32" t="s">
        <v>218</v>
      </c>
    </row>
    <row r="25" spans="1:16" s="20" customFormat="1" x14ac:dyDescent="0.2">
      <c r="A25" s="37" t="s">
        <v>78</v>
      </c>
      <c r="B25" s="27">
        <f t="shared" ca="1" si="0"/>
        <v>42.166666666666664</v>
      </c>
      <c r="C25" s="23">
        <v>44835</v>
      </c>
      <c r="D25" s="18" t="s">
        <v>75</v>
      </c>
      <c r="E25" s="37" t="s">
        <v>76</v>
      </c>
      <c r="F25" s="17" t="s">
        <v>77</v>
      </c>
      <c r="G25" s="17" t="s">
        <v>42</v>
      </c>
      <c r="H25" s="17" t="s">
        <v>43</v>
      </c>
      <c r="I25" s="38" t="s">
        <v>79</v>
      </c>
      <c r="J25" s="17"/>
      <c r="K25" s="17"/>
      <c r="L25" s="17"/>
      <c r="N25" s="30"/>
      <c r="O25" s="31"/>
      <c r="P25" s="32"/>
    </row>
    <row r="26" spans="1:16" x14ac:dyDescent="0.2">
      <c r="A26" s="8" t="s">
        <v>80</v>
      </c>
      <c r="B26" s="26">
        <f t="shared" ca="1" si="0"/>
        <v>27.966666666666665</v>
      </c>
      <c r="C26" s="22">
        <v>45261</v>
      </c>
      <c r="D26" s="7" t="s">
        <v>81</v>
      </c>
      <c r="E26" s="8" t="s">
        <v>101</v>
      </c>
      <c r="F26" s="8" t="s">
        <v>102</v>
      </c>
      <c r="G26" s="8" t="s">
        <v>103</v>
      </c>
      <c r="H26" s="8" t="s">
        <v>36</v>
      </c>
      <c r="I26" s="9" t="s">
        <v>105</v>
      </c>
      <c r="J26" s="8" t="s">
        <v>104</v>
      </c>
      <c r="K26" s="8"/>
      <c r="L26" s="8"/>
      <c r="N26" s="10" t="s">
        <v>106</v>
      </c>
      <c r="O26" s="5" t="s">
        <v>107</v>
      </c>
      <c r="P26" s="14" t="s">
        <v>92</v>
      </c>
    </row>
    <row r="27" spans="1:16" x14ac:dyDescent="0.2">
      <c r="A27" s="8" t="s">
        <v>317</v>
      </c>
      <c r="B27" s="26">
        <f t="shared" ca="1" si="0"/>
        <v>12.766666666666667</v>
      </c>
      <c r="C27" s="22">
        <v>45717</v>
      </c>
      <c r="D27" s="7" t="s">
        <v>256</v>
      </c>
      <c r="E27" s="8" t="s">
        <v>315</v>
      </c>
      <c r="F27" s="8" t="s">
        <v>316</v>
      </c>
      <c r="G27" s="8" t="s">
        <v>51</v>
      </c>
      <c r="H27" s="8" t="s">
        <v>300</v>
      </c>
      <c r="I27" s="9" t="s">
        <v>318</v>
      </c>
      <c r="J27" s="8"/>
      <c r="K27" s="13"/>
      <c r="L27" s="8"/>
      <c r="N27" s="10" t="s">
        <v>262</v>
      </c>
      <c r="O27" s="5" t="s">
        <v>319</v>
      </c>
      <c r="P27" s="14" t="s">
        <v>299</v>
      </c>
    </row>
    <row r="28" spans="1:16" x14ac:dyDescent="0.2">
      <c r="A28" s="8" t="s">
        <v>167</v>
      </c>
      <c r="B28" s="26">
        <f t="shared" ca="1" si="0"/>
        <v>37.133333333333333</v>
      </c>
      <c r="C28" s="22">
        <v>44986</v>
      </c>
      <c r="D28" s="7" t="s">
        <v>115</v>
      </c>
      <c r="E28" s="8" t="s">
        <v>165</v>
      </c>
      <c r="F28" s="8" t="s">
        <v>166</v>
      </c>
      <c r="G28" s="8" t="s">
        <v>103</v>
      </c>
      <c r="H28" s="8" t="s">
        <v>36</v>
      </c>
      <c r="I28" s="9" t="s">
        <v>169</v>
      </c>
      <c r="J28" s="8" t="s">
        <v>168</v>
      </c>
      <c r="K28" s="12"/>
      <c r="L28" s="8"/>
      <c r="N28" s="10" t="s">
        <v>83</v>
      </c>
      <c r="O28" s="5" t="s">
        <v>170</v>
      </c>
      <c r="P28" s="14" t="s">
        <v>138</v>
      </c>
    </row>
    <row r="29" spans="1:16" x14ac:dyDescent="0.2">
      <c r="A29" s="8" t="s">
        <v>140</v>
      </c>
      <c r="B29" s="26">
        <f t="shared" ca="1" si="0"/>
        <v>16.766666666666666</v>
      </c>
      <c r="C29" s="22">
        <v>45597</v>
      </c>
      <c r="D29" s="7" t="s">
        <v>184</v>
      </c>
      <c r="E29" s="8" t="s">
        <v>227</v>
      </c>
      <c r="F29" s="8" t="s">
        <v>228</v>
      </c>
      <c r="G29" s="8" t="s">
        <v>42</v>
      </c>
      <c r="H29" s="8" t="s">
        <v>36</v>
      </c>
      <c r="I29" s="9" t="s">
        <v>230</v>
      </c>
      <c r="J29" s="8" t="s">
        <v>229</v>
      </c>
      <c r="K29" s="12"/>
      <c r="L29" s="8"/>
      <c r="N29" s="10" t="s">
        <v>177</v>
      </c>
      <c r="O29" s="5" t="s">
        <v>231</v>
      </c>
      <c r="P29" s="14" t="s">
        <v>232</v>
      </c>
    </row>
    <row r="30" spans="1:16" s="20" customFormat="1" x14ac:dyDescent="0.2">
      <c r="A30" s="17" t="s">
        <v>141</v>
      </c>
      <c r="B30" s="27">
        <f t="shared" ca="1" si="0"/>
        <v>38.06666666666667</v>
      </c>
      <c r="C30" s="23">
        <v>44958</v>
      </c>
      <c r="D30" s="18" t="s">
        <v>115</v>
      </c>
      <c r="E30" s="17" t="s">
        <v>153</v>
      </c>
      <c r="F30" s="17" t="s">
        <v>154</v>
      </c>
      <c r="G30" s="17" t="s">
        <v>139</v>
      </c>
      <c r="H30" s="17" t="s">
        <v>36</v>
      </c>
      <c r="I30" s="19" t="s">
        <v>156</v>
      </c>
      <c r="J30" s="17" t="s">
        <v>155</v>
      </c>
      <c r="K30" s="29"/>
      <c r="L30" s="17"/>
      <c r="N30" s="30" t="s">
        <v>71</v>
      </c>
      <c r="O30" s="31" t="s">
        <v>157</v>
      </c>
      <c r="P30" s="32" t="s">
        <v>138</v>
      </c>
    </row>
    <row r="31" spans="1:16" s="20" customFormat="1" x14ac:dyDescent="0.2">
      <c r="A31" s="17" t="s">
        <v>332</v>
      </c>
      <c r="B31" s="27">
        <f t="shared" ca="1" si="0"/>
        <v>39.1</v>
      </c>
      <c r="C31" s="23">
        <v>44927</v>
      </c>
      <c r="D31" s="20" t="s">
        <v>320</v>
      </c>
      <c r="E31" s="17" t="s">
        <v>330</v>
      </c>
      <c r="F31" s="20" t="s">
        <v>331</v>
      </c>
      <c r="G31" s="17" t="s">
        <v>333</v>
      </c>
      <c r="H31" s="20" t="s">
        <v>334</v>
      </c>
      <c r="I31" s="19" t="s">
        <v>336</v>
      </c>
      <c r="J31" s="17" t="s">
        <v>335</v>
      </c>
      <c r="K31" s="33"/>
      <c r="N31" s="34" t="s">
        <v>93</v>
      </c>
      <c r="O31" s="35" t="s">
        <v>266</v>
      </c>
      <c r="P31" s="36" t="s">
        <v>321</v>
      </c>
    </row>
    <row r="32" spans="1:16" x14ac:dyDescent="0.2">
      <c r="A32" s="8" t="s">
        <v>205</v>
      </c>
      <c r="B32" s="26">
        <f t="shared" ca="1" si="0"/>
        <v>12.766666666666667</v>
      </c>
      <c r="C32" s="22">
        <v>45717</v>
      </c>
      <c r="D32" s="7" t="s">
        <v>184</v>
      </c>
      <c r="E32" s="8" t="s">
        <v>203</v>
      </c>
      <c r="F32" s="8" t="s">
        <v>204</v>
      </c>
      <c r="G32" s="8" t="s">
        <v>206</v>
      </c>
      <c r="H32" s="8" t="s">
        <v>37</v>
      </c>
      <c r="I32" s="9" t="s">
        <v>208</v>
      </c>
      <c r="J32" s="8" t="s">
        <v>207</v>
      </c>
      <c r="K32" s="12"/>
      <c r="L32" s="8"/>
      <c r="N32" s="10" t="s">
        <v>209</v>
      </c>
      <c r="O32" s="5" t="s">
        <v>210</v>
      </c>
      <c r="P32" s="14" t="s">
        <v>193</v>
      </c>
    </row>
    <row r="33" spans="1:16" x14ac:dyDescent="0.2">
      <c r="A33" s="8" t="s">
        <v>181</v>
      </c>
      <c r="B33" s="26">
        <f t="shared" ca="1" si="0"/>
        <v>28.966666666666665</v>
      </c>
      <c r="C33" s="22">
        <v>45231</v>
      </c>
      <c r="D33" s="7" t="s">
        <v>178</v>
      </c>
      <c r="E33" s="8" t="s">
        <v>179</v>
      </c>
      <c r="F33" s="8" t="s">
        <v>180</v>
      </c>
      <c r="G33" s="8" t="s">
        <v>47</v>
      </c>
      <c r="H33" s="8" t="s">
        <v>36</v>
      </c>
      <c r="I33" s="9" t="s">
        <v>183</v>
      </c>
      <c r="J33" s="8" t="s">
        <v>182</v>
      </c>
      <c r="K33" s="8"/>
      <c r="L33" s="8"/>
      <c r="N33" s="8" t="s">
        <v>150</v>
      </c>
      <c r="O33" s="8" t="s">
        <v>175</v>
      </c>
      <c r="P33" s="8" t="s">
        <v>93</v>
      </c>
    </row>
    <row r="34" spans="1:16" s="20" customFormat="1" x14ac:dyDescent="0.2">
      <c r="A34" s="17" t="s">
        <v>243</v>
      </c>
      <c r="B34" s="27">
        <f t="shared" ca="1" si="0"/>
        <v>20.866666666666667</v>
      </c>
      <c r="C34" s="23">
        <v>45474</v>
      </c>
      <c r="D34" s="18" t="s">
        <v>184</v>
      </c>
      <c r="E34" s="17" t="s">
        <v>241</v>
      </c>
      <c r="F34" s="17" t="s">
        <v>242</v>
      </c>
      <c r="G34" s="17" t="s">
        <v>244</v>
      </c>
      <c r="H34" s="17" t="s">
        <v>52</v>
      </c>
      <c r="I34" s="19" t="s">
        <v>246</v>
      </c>
      <c r="J34" s="17" t="s">
        <v>245</v>
      </c>
      <c r="K34" s="17"/>
      <c r="L34" s="17"/>
      <c r="N34" s="17" t="s">
        <v>194</v>
      </c>
      <c r="O34" s="17" t="s">
        <v>247</v>
      </c>
      <c r="P34" s="17" t="s">
        <v>195</v>
      </c>
    </row>
    <row r="35" spans="1:16" x14ac:dyDescent="0.2">
      <c r="A35" s="8" t="s">
        <v>221</v>
      </c>
      <c r="B35" s="26">
        <f t="shared" ca="1" si="0"/>
        <v>21.866666666666667</v>
      </c>
      <c r="C35" s="22">
        <v>45444</v>
      </c>
      <c r="D35" s="7" t="s">
        <v>184</v>
      </c>
      <c r="E35" s="8" t="s">
        <v>219</v>
      </c>
      <c r="F35" s="8" t="s">
        <v>220</v>
      </c>
      <c r="G35" s="8" t="s">
        <v>47</v>
      </c>
      <c r="H35" s="8" t="s">
        <v>35</v>
      </c>
      <c r="I35" s="9" t="s">
        <v>223</v>
      </c>
      <c r="J35" s="8" t="s">
        <v>222</v>
      </c>
      <c r="K35" s="8"/>
      <c r="L35" s="8"/>
      <c r="N35" s="8" t="s">
        <v>224</v>
      </c>
      <c r="O35" s="8" t="s">
        <v>225</v>
      </c>
      <c r="P35" s="8" t="s">
        <v>226</v>
      </c>
    </row>
    <row r="36" spans="1:16" x14ac:dyDescent="0.2">
      <c r="A36" s="8" t="s">
        <v>27</v>
      </c>
      <c r="B36" s="26">
        <f t="shared" ca="1" si="0"/>
        <v>32.033333333333331</v>
      </c>
      <c r="C36" s="22">
        <v>45139</v>
      </c>
      <c r="D36" s="6" t="s">
        <v>14</v>
      </c>
      <c r="E36" s="8" t="s">
        <v>25</v>
      </c>
      <c r="F36" s="8" t="s">
        <v>26</v>
      </c>
      <c r="G36" s="8" t="s">
        <v>28</v>
      </c>
      <c r="H36" s="8" t="s">
        <v>29</v>
      </c>
      <c r="I36" s="9" t="s">
        <v>31</v>
      </c>
      <c r="J36" s="9" t="s">
        <v>30</v>
      </c>
      <c r="K36" s="8"/>
      <c r="L36" s="8" t="s">
        <v>15</v>
      </c>
      <c r="N36" s="8"/>
      <c r="O36" s="8" t="s">
        <v>32</v>
      </c>
      <c r="P36" s="8"/>
    </row>
    <row r="37" spans="1:16" s="20" customFormat="1" x14ac:dyDescent="0.2">
      <c r="A37" s="17" t="s">
        <v>295</v>
      </c>
      <c r="B37" s="26">
        <f t="shared" ca="1" si="0"/>
        <v>85.833333333333329</v>
      </c>
      <c r="C37" s="23">
        <v>43525</v>
      </c>
      <c r="D37" s="18" t="s">
        <v>256</v>
      </c>
      <c r="E37" s="17" t="s">
        <v>293</v>
      </c>
      <c r="F37" s="17" t="s">
        <v>294</v>
      </c>
      <c r="G37" s="17" t="s">
        <v>42</v>
      </c>
      <c r="H37" s="17" t="s">
        <v>36</v>
      </c>
      <c r="I37" s="19" t="s">
        <v>296</v>
      </c>
      <c r="J37" s="17"/>
      <c r="K37" s="17"/>
      <c r="L37" s="17"/>
      <c r="N37" s="17" t="s">
        <v>33</v>
      </c>
      <c r="O37" s="17" t="s">
        <v>297</v>
      </c>
      <c r="P37" s="17" t="s">
        <v>298</v>
      </c>
    </row>
    <row r="38" spans="1:16" x14ac:dyDescent="0.2">
      <c r="A38" s="8" t="s">
        <v>275</v>
      </c>
      <c r="B38" s="26">
        <f t="shared" ca="1" si="0"/>
        <v>15.766666666666667</v>
      </c>
      <c r="C38" s="22">
        <v>45627</v>
      </c>
      <c r="D38" s="7" t="s">
        <v>256</v>
      </c>
      <c r="E38" s="8" t="s">
        <v>273</v>
      </c>
      <c r="F38" s="8" t="s">
        <v>274</v>
      </c>
      <c r="G38" s="8" t="s">
        <v>276</v>
      </c>
      <c r="H38" s="8" t="s">
        <v>119</v>
      </c>
      <c r="I38" s="9" t="s">
        <v>277</v>
      </c>
      <c r="J38" s="8"/>
      <c r="K38" s="8"/>
      <c r="L38" s="8"/>
      <c r="N38" s="8" t="s">
        <v>278</v>
      </c>
      <c r="O38" s="8" t="s">
        <v>266</v>
      </c>
      <c r="P38" s="8" t="s">
        <v>279</v>
      </c>
    </row>
    <row r="39" spans="1:16" s="20" customFormat="1" x14ac:dyDescent="0.2">
      <c r="A39" s="17" t="s">
        <v>71</v>
      </c>
      <c r="B39" s="27">
        <f t="shared" ca="1" si="0"/>
        <v>51.266666666666666</v>
      </c>
      <c r="C39" s="23">
        <v>44562</v>
      </c>
      <c r="D39" s="18" t="s">
        <v>56</v>
      </c>
      <c r="E39" s="17" t="s">
        <v>69</v>
      </c>
      <c r="F39" s="17" t="s">
        <v>70</v>
      </c>
      <c r="G39" s="17" t="s">
        <v>72</v>
      </c>
      <c r="H39" s="17" t="s">
        <v>20</v>
      </c>
      <c r="I39" s="19" t="s">
        <v>74</v>
      </c>
      <c r="J39" s="17" t="s">
        <v>73</v>
      </c>
      <c r="K39" s="18">
        <v>44463</v>
      </c>
      <c r="L39" s="17"/>
      <c r="N39" s="17"/>
      <c r="O39" s="17"/>
      <c r="P39" s="17"/>
    </row>
    <row r="40" spans="1:16" x14ac:dyDescent="0.2">
      <c r="A40" s="8" t="s">
        <v>324</v>
      </c>
      <c r="B40" s="26">
        <f t="shared" ca="1" si="0"/>
        <v>13.7</v>
      </c>
      <c r="C40" s="22">
        <v>45689</v>
      </c>
      <c r="D40" t="s">
        <v>320</v>
      </c>
      <c r="E40" s="8" t="s">
        <v>322</v>
      </c>
      <c r="F40" s="6" t="s">
        <v>323</v>
      </c>
      <c r="G40" s="8" t="s">
        <v>38</v>
      </c>
      <c r="H40" t="s">
        <v>36</v>
      </c>
      <c r="I40" s="9" t="s">
        <v>326</v>
      </c>
      <c r="J40" s="8" t="s">
        <v>325</v>
      </c>
      <c r="N40" t="s">
        <v>327</v>
      </c>
      <c r="O40" t="s">
        <v>328</v>
      </c>
      <c r="P40" t="s">
        <v>329</v>
      </c>
    </row>
    <row r="41" spans="1:16" x14ac:dyDescent="0.2">
      <c r="A41" s="8" t="s">
        <v>142</v>
      </c>
      <c r="B41" s="26">
        <f t="shared" ca="1" si="0"/>
        <v>9.6999999999999993</v>
      </c>
      <c r="C41" s="22">
        <v>45809</v>
      </c>
      <c r="D41" s="7" t="s">
        <v>256</v>
      </c>
      <c r="E41" s="8" t="s">
        <v>308</v>
      </c>
      <c r="F41" s="8" t="s">
        <v>309</v>
      </c>
      <c r="G41" s="8" t="s">
        <v>310</v>
      </c>
      <c r="H41" s="8" t="s">
        <v>43</v>
      </c>
      <c r="I41" s="9" t="s">
        <v>311</v>
      </c>
      <c r="J41" s="8"/>
      <c r="K41" s="8"/>
      <c r="L41" s="8"/>
      <c r="N41" s="8" t="s">
        <v>194</v>
      </c>
      <c r="O41" s="8" t="s">
        <v>266</v>
      </c>
      <c r="P41" s="8" t="s">
        <v>298</v>
      </c>
    </row>
    <row r="42" spans="1:16" x14ac:dyDescent="0.2">
      <c r="A42" s="8" t="s">
        <v>305</v>
      </c>
      <c r="B42" s="26">
        <f t="shared" ca="1" si="0"/>
        <v>11.733333333333333</v>
      </c>
      <c r="C42" s="22">
        <v>45748</v>
      </c>
      <c r="D42" s="7" t="s">
        <v>256</v>
      </c>
      <c r="E42" s="8" t="s">
        <v>303</v>
      </c>
      <c r="F42" s="8" t="s">
        <v>304</v>
      </c>
      <c r="G42" s="8" t="s">
        <v>306</v>
      </c>
      <c r="H42" s="8" t="s">
        <v>35</v>
      </c>
      <c r="I42" s="9" t="s">
        <v>307</v>
      </c>
      <c r="J42" s="8"/>
      <c r="K42" s="8"/>
      <c r="L42" s="8"/>
      <c r="N42" s="8" t="s">
        <v>278</v>
      </c>
      <c r="O42" s="8" t="s">
        <v>266</v>
      </c>
      <c r="P42" s="8" t="s">
        <v>302</v>
      </c>
    </row>
  </sheetData>
  <sortState xmlns:xlrd2="http://schemas.microsoft.com/office/spreadsheetml/2017/richdata2" ref="A2:XFB42">
    <sortCondition ref="A2:A42"/>
  </sortState>
  <hyperlinks>
    <hyperlink ref="I9" r:id="rId1" xr:uid="{95F70215-3103-4592-9551-43CA05F5372F}"/>
    <hyperlink ref="I36" r:id="rId2" xr:uid="{349941D8-A77D-4B72-808F-AB6480D49F2B}"/>
    <hyperlink ref="I18" r:id="rId3" xr:uid="{762E13C2-2DC7-45F8-A5D5-149451D7AE8F}"/>
    <hyperlink ref="I16" r:id="rId4" xr:uid="{C8D74DE9-939E-4F72-A4A3-9E1E9924A1E2}"/>
    <hyperlink ref="I21" r:id="rId5" xr:uid="{40688DDA-062C-4F06-AA3C-2BD1449C4B22}"/>
    <hyperlink ref="I7" r:id="rId6" xr:uid="{F29E29A0-211F-4A12-AA17-5BF6B60C528A}"/>
    <hyperlink ref="I39" r:id="rId7" xr:uid="{20A2841A-04D9-472B-BAB3-1971967BD802}"/>
    <hyperlink ref="I13" r:id="rId8" xr:uid="{9CA14EBD-7954-45CC-AFF2-7DF2F38B2DDA}"/>
    <hyperlink ref="I11" r:id="rId9" xr:uid="{7AD12112-2194-4B27-8584-BCB06AA00D71}"/>
    <hyperlink ref="I26" r:id="rId10" xr:uid="{3E1350D7-0E90-437F-A39D-9E27BF5A7ABF}"/>
    <hyperlink ref="I5" r:id="rId11" xr:uid="{F3281045-C585-4629-92E5-DE6CF82ECCAF}"/>
    <hyperlink ref="I17" r:id="rId12" xr:uid="{4333A28A-7CC3-41E5-B65B-0E7E1A15621D}"/>
    <hyperlink ref="I20" r:id="rId13" xr:uid="{BA406427-C8BC-45A0-B9A1-F6BE7D402697}"/>
    <hyperlink ref="I12" r:id="rId14" xr:uid="{33F5E637-D8C4-4A43-8F5E-CFF81E4F9936}"/>
    <hyperlink ref="I30" r:id="rId15" xr:uid="{972380E7-FBD4-4684-8CB2-19CAF3064C35}"/>
    <hyperlink ref="I10" r:id="rId16" xr:uid="{4261B624-FBCD-4FBF-B74A-D91828303E26}"/>
    <hyperlink ref="I28" r:id="rId17" xr:uid="{353958BA-26F9-41EE-B6B0-2497EE5047BC}"/>
    <hyperlink ref="I19" r:id="rId18" xr:uid="{B95E7381-4C43-43C9-B095-4A1D8A3E133F}"/>
    <hyperlink ref="I33" r:id="rId19" xr:uid="{0375D114-B179-4C8A-99D5-C9ECF2B83B1C}"/>
    <hyperlink ref="I14" r:id="rId20" xr:uid="{0EFBFAED-0056-47F1-876D-E12B38AEF111}"/>
    <hyperlink ref="I2" r:id="rId21" xr:uid="{04C56D43-0718-48EF-8F65-C83708A0710B}"/>
    <hyperlink ref="I32" r:id="rId22" xr:uid="{7F3D22DB-A93C-4FD2-B217-919A95BFD480}"/>
    <hyperlink ref="I24" r:id="rId23" xr:uid="{A2BBCBC1-3AC1-4C37-AC7A-2A18E1DC4C60}"/>
    <hyperlink ref="I35" r:id="rId24" xr:uid="{DC21D5BB-484C-4E11-BBAB-54AF7C319C1E}"/>
    <hyperlink ref="I29" r:id="rId25" xr:uid="{81F16958-7DA5-4F06-BA82-4BC5A0A5CD48}"/>
    <hyperlink ref="I15" r:id="rId26" xr:uid="{3EE56ED9-A6A5-4C67-A292-7E7DC07B9980}"/>
    <hyperlink ref="I34" r:id="rId27" xr:uid="{CA1A248C-E84E-4EBD-8FB9-7AFDFA1C1355}"/>
    <hyperlink ref="I6" r:id="rId28" xr:uid="{8C864676-B884-4B42-B988-160BE6C02B9B}"/>
    <hyperlink ref="I8" r:id="rId29" xr:uid="{822406E0-121F-48B1-8FB4-D4E8FEFEA3C9}"/>
    <hyperlink ref="I23" r:id="rId30" xr:uid="{025D0F16-EA6A-4D64-AB0D-4B02E7228755}"/>
    <hyperlink ref="I38" r:id="rId31" xr:uid="{9522D07D-6254-4474-A549-3264D0BC12D6}"/>
    <hyperlink ref="I22" r:id="rId32" xr:uid="{86F34925-DC52-49F4-99F1-7BF7CD1BAD09}"/>
    <hyperlink ref="I3" r:id="rId33" xr:uid="{0457D824-DFFB-41ED-9A32-9CCA4FE72DC8}"/>
    <hyperlink ref="I37" r:id="rId34" xr:uid="{D0830564-9E4C-44D6-9010-752932173630}"/>
    <hyperlink ref="I42" r:id="rId35" xr:uid="{D23E9CFC-0C60-435A-91AF-6A1E4D462002}"/>
    <hyperlink ref="I41" r:id="rId36" xr:uid="{FF02C6BA-8504-4B42-B5A4-0E3BC6017401}"/>
    <hyperlink ref="I4" r:id="rId37" xr:uid="{D7680B73-9630-4EB6-95B2-E5261F5771CB}"/>
    <hyperlink ref="I27" r:id="rId38" xr:uid="{1319FF52-247B-4D6C-8999-869840D0DFFD}"/>
    <hyperlink ref="J9" r:id="rId39" xr:uid="{62406FCF-2276-4792-834F-2CAEA4128C31}"/>
    <hyperlink ref="J36" r:id="rId40" xr:uid="{77410F08-AD15-41B7-BEAC-FA27569607A6}"/>
    <hyperlink ref="J18" r:id="rId41" xr:uid="{AED3B37A-38A1-4A15-B021-944361099CF8}"/>
    <hyperlink ref="J16" r:id="rId42" xr:uid="{DA2CB029-14C7-4321-905E-B59559BA9D5F}"/>
    <hyperlink ref="I31" r:id="rId43" xr:uid="{E8071451-5ABA-4E64-8777-3CBDCA6F4546}"/>
    <hyperlink ref="I40" r:id="rId44" xr:uid="{49115E42-1418-4B0C-9CDD-6C2DFFA6F2FB}"/>
    <hyperlink ref="I25" r:id="rId45" xr:uid="{8300541F-DE5A-407C-B4F8-EF0A68628A5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8B4EDBA94014FA166DC95F69A031B" ma:contentTypeVersion="18" ma:contentTypeDescription="Create a new document." ma:contentTypeScope="" ma:versionID="323ae754ed86b9c9e4db2b8aaef1ed34">
  <xsd:schema xmlns:xsd="http://www.w3.org/2001/XMLSchema" xmlns:xs="http://www.w3.org/2001/XMLSchema" xmlns:p="http://schemas.microsoft.com/office/2006/metadata/properties" xmlns:ns2="99055cb7-e9fb-4ae3-be28-d81c7b0a794a" xmlns:ns3="8c8a5480-9e95-4a06-bfcb-571d9ef25dc8" targetNamespace="http://schemas.microsoft.com/office/2006/metadata/properties" ma:root="true" ma:fieldsID="194f9ec4d27df1df96f6912242689f9b" ns2:_="" ns3:_="">
    <xsd:import namespace="99055cb7-e9fb-4ae3-be28-d81c7b0a794a"/>
    <xsd:import namespace="8c8a5480-9e95-4a06-bfcb-571d9ef25d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055cb7-e9fb-4ae3-be28-d81c7b0a79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a5480-9e95-4a06-bfcb-571d9ef25dc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3ad66a-ec0a-4f80-8e70-d48120b9f6ac}" ma:internalName="TaxCatchAll" ma:showField="CatchAllData" ma:web="8c8a5480-9e95-4a06-bfcb-571d9ef25d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055cb7-e9fb-4ae3-be28-d81c7b0a794a">
      <Terms xmlns="http://schemas.microsoft.com/office/infopath/2007/PartnerControls"/>
    </lcf76f155ced4ddcb4097134ff3c332f>
    <TaxCatchAll xmlns="8c8a5480-9e95-4a06-bfcb-571d9ef25d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13E6FB-CEAF-4E2C-B44C-B8A8FDEB66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055cb7-e9fb-4ae3-be28-d81c7b0a794a"/>
    <ds:schemaRef ds:uri="8c8a5480-9e95-4a06-bfcb-571d9ef25d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CBF240-6FE5-4763-9067-3D8F4E4A2B54}">
  <ds:schemaRefs>
    <ds:schemaRef ds:uri="http://schemas.microsoft.com/office/2006/metadata/properties"/>
    <ds:schemaRef ds:uri="http://schemas.microsoft.com/office/infopath/2007/PartnerControls"/>
    <ds:schemaRef ds:uri="99055cb7-e9fb-4ae3-be28-d81c7b0a794a"/>
    <ds:schemaRef ds:uri="8c8a5480-9e95-4a06-bfcb-571d9ef25dc8"/>
  </ds:schemaRefs>
</ds:datastoreItem>
</file>

<file path=customXml/itemProps3.xml><?xml version="1.0" encoding="utf-8"?>
<ds:datastoreItem xmlns:ds="http://schemas.openxmlformats.org/officeDocument/2006/customXml" ds:itemID="{0328B23B-5A68-4241-8404-38954345EE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Ramona Ann Dockerty</dc:creator>
  <cp:keywords/>
  <dc:description/>
  <cp:lastModifiedBy>Mohammed Anwarul Alam</cp:lastModifiedBy>
  <cp:revision/>
  <dcterms:created xsi:type="dcterms:W3CDTF">2019-12-19T19:03:58Z</dcterms:created>
  <dcterms:modified xsi:type="dcterms:W3CDTF">2026-03-19T19:23:46Z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0x0101001008B4EDBA94014FA166DC95F69A031B</vt:lpwstr>
  </property>
  <property fmtid="{D5CDD505-2E9C-101B-9397-08002B2CF9AE}" pid="3" name="MediaServiceImageTags">
    <vt:lpwstr/>
  </property>
</Properties>
</file>